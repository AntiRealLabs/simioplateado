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lmackinon/Documents/ANTI Mackinon/Playground2/simio-plateado/doctrina/"/>
    </mc:Choice>
  </mc:AlternateContent>
  <xr:revisionPtr revIDLastSave="0" documentId="13_ncr:1_{09B66680-AADA-7A4C-8393-E90D620909DE}" xr6:coauthVersionLast="47" xr6:coauthVersionMax="47" xr10:uidLastSave="{00000000-0000-0000-0000-000000000000}"/>
  <bookViews>
    <workbookView xWindow="0" yWindow="660" windowWidth="23840" windowHeight="16020" tabRatio="500" activeTab="1" xr2:uid="{00000000-000D-0000-FFFF-FFFF00000000}"/>
  </bookViews>
  <sheets>
    <sheet name="Resumen" sheetId="1" r:id="rId1"/>
    <sheet name="Inventario" sheetId="2" r:id="rId2"/>
    <sheet name="Cómo usar" sheetId="3" r:id="rId3"/>
  </sheets>
  <definedNames>
    <definedName name="_xlnm._FilterDatabase" localSheetId="1" hidden="1">Inventario!$A$1:$F$29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" l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  <c r="B6" i="1" s="1"/>
  <c r="D6" i="1" l="1"/>
  <c r="E6" i="1"/>
  <c r="F4" i="1"/>
  <c r="F3" i="1"/>
  <c r="F2" i="1"/>
  <c r="F5" i="1"/>
  <c r="C6" i="1"/>
  <c r="F6" i="1" l="1"/>
</calcChain>
</file>

<file path=xl/sharedStrings.xml><?xml version="1.0" encoding="utf-8"?>
<sst xmlns="http://schemas.openxmlformats.org/spreadsheetml/2006/main" count="201" uniqueCount="81">
  <si>
    <t>Categoría</t>
  </si>
  <si>
    <t>Total piezas</t>
  </si>
  <si>
    <t>Con texto handwritten</t>
  </si>
  <si>
    <t>Con imagen sin fondo</t>
  </si>
  <si>
    <t>Con modelo 3D</t>
  </si>
  <si>
    <t>% completitud</t>
  </si>
  <si>
    <t>Drop 001</t>
  </si>
  <si>
    <t>Wearables</t>
  </si>
  <si>
    <t>Imposible</t>
  </si>
  <si>
    <t>Club Filósofos</t>
  </si>
  <si>
    <t>TOTAL</t>
  </si>
  <si>
    <t>Pieza</t>
  </si>
  <si>
    <t>Texto handwritten</t>
  </si>
  <si>
    <t>Imagen sin fondo</t>
  </si>
  <si>
    <t>Modelo 3D</t>
  </si>
  <si>
    <t>Notas</t>
  </si>
  <si>
    <t>TUNI.v01.ROSA</t>
  </si>
  <si>
    <t>✓</t>
  </si>
  <si>
    <t>Texto handwritten compartido entre las 3 variantes TUNI</t>
  </si>
  <si>
    <t>TUNI.v01.BLANCA</t>
  </si>
  <si>
    <t>—</t>
  </si>
  <si>
    <t>Mismo texto handwritten que rosa; reusar 3D rosa cambiando filamento</t>
  </si>
  <si>
    <t>TUNI.v01.NEGRA</t>
  </si>
  <si>
    <t>COPA_CHISTE_COLOMBIA.v0</t>
  </si>
  <si>
    <t>MARXITO.v01</t>
  </si>
  <si>
    <t>SUPERHOMBRESITO.v01</t>
  </si>
  <si>
    <t>⚠</t>
  </si>
  <si>
    <t>Dos modelos 3D generados; elegir canónico</t>
  </si>
  <si>
    <t>DIALOGUIN.v01</t>
  </si>
  <si>
    <t>TRAUMIN.v01</t>
  </si>
  <si>
    <t>MINI_DEVENIRES.v01</t>
  </si>
  <si>
    <t>PLANTI_PUNK.v01</t>
  </si>
  <si>
    <t>3 variantes material (barro/obsidiana/silicona); falta 3D</t>
  </si>
  <si>
    <t>PLANTI_PUNK_XL.v01</t>
  </si>
  <si>
    <t>3 variantes material; falta 3D</t>
  </si>
  <si>
    <t>PLANTI_K.v01</t>
  </si>
  <si>
    <t>PLANTI_K_XL.v01</t>
  </si>
  <si>
    <t>Camiseta blanca</t>
  </si>
  <si>
    <t>No requiere modelo 3D (es textil)</t>
  </si>
  <si>
    <t>Camiseta negra</t>
  </si>
  <si>
    <t>Gorra</t>
  </si>
  <si>
    <t>PARCHAO.v01</t>
  </si>
  <si>
    <t>Gafas — 3D opcional si se imprime como objeto escultórico</t>
  </si>
  <si>
    <t>MELISIMO.v01</t>
  </si>
  <si>
    <t>AUDIO.ANTROPOS.v02</t>
  </si>
  <si>
    <t>Exhibición pura; 3D opcional</t>
  </si>
  <si>
    <t>AUDIO.NEO.v02</t>
  </si>
  <si>
    <t>AUDIO.OIMIS.v02</t>
  </si>
  <si>
    <t>ARTURITO.v01 (Schopenhauer emo)</t>
  </si>
  <si>
    <t>Imagen generada falta procesar; nombre handwritten pendiente</t>
  </si>
  <si>
    <t>LACANITO.v01</t>
  </si>
  <si>
    <t>Imagen generada (iterando); nombre handwritten pendiente</t>
  </si>
  <si>
    <t>GRAMSCITO.v01</t>
  </si>
  <si>
    <t>SARTRECITO.v01 (pirata)</t>
  </si>
  <si>
    <t>Reemplaza versión pipa-y-náusea; prompt listo</t>
  </si>
  <si>
    <t>KANTITO.v01</t>
  </si>
  <si>
    <t>Prompt listo; imagen no generada</t>
  </si>
  <si>
    <t>FOUCAULTITO.v01</t>
  </si>
  <si>
    <t>SOCRATITO.v01</t>
  </si>
  <si>
    <t>INVENTARIO DE ASSETS · SIMIO PLATEADO</t>
  </si>
  <si>
    <t>¿Cómo se usa?</t>
  </si>
  <si>
    <t>1. En la hoja 'Inventario', cada fila es una pieza del catálogo.</t>
  </si>
  <si>
    <t>2. Las tres columnas centrales (Texto handwritten, Imagen sin fondo, Modelo 3D) son editables.</t>
  </si>
  <si>
    <t>3. Hacé click en una celda y aparece el dropdown con tres opciones:</t>
  </si>
  <si>
    <t xml:space="preserve">       ✓ existe procesado</t>
  </si>
  <si>
    <t xml:space="preserve">       — no existe aún</t>
  </si>
  <si>
    <t xml:space="preserve">       ⚠ existe pero hay que revisarlo (ej. dos versiones, calidad dudosa)</t>
  </si>
  <si>
    <t>4. Las celdas se colorean automáticamente según el valor:</t>
  </si>
  <si>
    <t xml:space="preserve">       verde = ✓</t>
  </si>
  <si>
    <t xml:space="preserve">       gris = —</t>
  </si>
  <si>
    <t xml:space="preserve">       amarillo = ⚠</t>
  </si>
  <si>
    <t>5. La hoja 'Resumen' calcula automáticamente totales y porcentaje de completitud por categoría.</t>
  </si>
  <si>
    <t>¿Cómo agrego una pieza nueva?</t>
  </si>
  <si>
    <t>1. En la hoja 'Inventario', insertá una fila en la categoría correspondiente.</t>
  </si>
  <si>
    <t>2. Llená Categoría (Drop 001 / Wearables / Imposible / Club Filósofos) y Pieza.</t>
  </si>
  <si>
    <t>3. Las columnas de status ya tienen dropdown — solo elegí.</t>
  </si>
  <si>
    <t>4. La hoja 'Resumen' se actualiza sola.</t>
  </si>
  <si>
    <t>Mantenimiento</t>
  </si>
  <si>
    <t>Cuando se procese un nuevo asset, abrí este archivo y actualizá el valor de la celda correspondiente.</t>
  </si>
  <si>
    <t>Cuando se agregue una pieza al catálogo (ej. un filósofo nuevo del club), agregá la fila acá.</t>
  </si>
  <si>
    <t>Última actualización: 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</si>
</sst>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4E0"/>
        <bgColor rgb="FFF8E8E8"/>
      </patternFill>
    </fill>
    <fill>
      <patternFill patternType="solid">
        <fgColor rgb="FFE8F4F8"/>
        <bgColor rgb="FFF0E8F8"/>
      </patternFill>
    </fill>
    <fill>
      <patternFill patternType="solid">
        <fgColor rgb="FFF8E8E8"/>
        <bgColor rgb="FFF0E8F8"/>
      </patternFill>
    </fill>
    <fill>
      <patternFill patternType="solid">
        <fgColor rgb="FFF0E8F8"/>
        <bgColor rgb="FFF8E8E8"/>
      </patternFill>
    </fill>
    <fill>
      <patternFill patternType="solid">
        <fgColor rgb="FFFFE699"/>
        <b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4F8"/>
      <rgbColor rgb="FF660066"/>
      <rgbColor rgb="FFFF8080"/>
      <rgbColor rgb="FF0066CC"/>
      <rgbColor rgb="FFF0E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F8E8E8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14" customWidth="1"/>
    <col min="3" max="4" width="22" customWidth="1"/>
    <col min="5" max="6" width="16" customWidth="1"/>
  </cols>
  <sheetData>
    <row r="1" spans="1:6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>
        <f>COUNTIF(Inventario!A:A,"Drop 001")</f>
        <v>13</v>
      </c>
      <c r="C2" s="3">
        <f>COUNTIFS(Inventario!A:A,"Drop 001",Inventario!C:C,"✓")</f>
        <v>13</v>
      </c>
      <c r="D2" s="3">
        <f>COUNTIFS(Inventario!A:A,"Drop 001",Inventario!D:D,"✓")</f>
        <v>13</v>
      </c>
      <c r="E2" s="3">
        <f>COUNTIFS(Inventario!A:A,"Drop 001",Inventario!E:E,"✓")</f>
        <v>6</v>
      </c>
      <c r="F2" s="4">
        <f>IFERROR((C2+D2+E2)/(B2*3),0)</f>
        <v>0.82051282051282048</v>
      </c>
    </row>
    <row r="3" spans="1:6" x14ac:dyDescent="0.2">
      <c r="A3" s="5" t="s">
        <v>7</v>
      </c>
      <c r="B3" s="3">
        <f>COUNTIF(Inventario!A:A,"Wearables")</f>
        <v>5</v>
      </c>
      <c r="C3" s="3">
        <f>COUNTIFS(Inventario!A:A,"Wearables",Inventario!C:C,"✓")</f>
        <v>5</v>
      </c>
      <c r="D3" s="3">
        <f>COUNTIFS(Inventario!A:A,"Wearables",Inventario!D:D,"✓")</f>
        <v>5</v>
      </c>
      <c r="E3" s="3">
        <f>COUNTIFS(Inventario!A:A,"Wearables",Inventario!E:E,"✓")</f>
        <v>1</v>
      </c>
      <c r="F3" s="4">
        <f>IFERROR((C3+D3+E3)/(B3*3),0)</f>
        <v>0.73333333333333328</v>
      </c>
    </row>
    <row r="4" spans="1:6" x14ac:dyDescent="0.2">
      <c r="A4" s="6" t="s">
        <v>8</v>
      </c>
      <c r="B4" s="3">
        <f>COUNTIF(Inventario!A:A,"Imposible")</f>
        <v>3</v>
      </c>
      <c r="C4" s="3">
        <f>COUNTIFS(Inventario!A:A,"Imposible",Inventario!C:C,"✓")</f>
        <v>3</v>
      </c>
      <c r="D4" s="3">
        <f>COUNTIFS(Inventario!A:A,"Imposible",Inventario!D:D,"✓")</f>
        <v>3</v>
      </c>
      <c r="E4" s="3">
        <f>COUNTIFS(Inventario!A:A,"Imposible",Inventario!E:E,"✓")</f>
        <v>0</v>
      </c>
      <c r="F4" s="4">
        <f>IFERROR((C4+D4+E4)/(B4*3),0)</f>
        <v>0.66666666666666663</v>
      </c>
    </row>
    <row r="5" spans="1:6" x14ac:dyDescent="0.2">
      <c r="A5" s="7" t="s">
        <v>9</v>
      </c>
      <c r="B5" s="3">
        <f>COUNTIF(Inventario!A:A,"Club Filósofos")</f>
        <v>7</v>
      </c>
      <c r="C5" s="3">
        <f>COUNTIFS(Inventario!A:A,"Club Filósofos",Inventario!C:C,"✓")</f>
        <v>0</v>
      </c>
      <c r="D5" s="3">
        <f>COUNTIFS(Inventario!A:A,"Club Filósofos",Inventario!D:D,"✓")</f>
        <v>0</v>
      </c>
      <c r="E5" s="3">
        <f>COUNTIFS(Inventario!A:A,"Club Filósofos",Inventario!E:E,"✓")</f>
        <v>1</v>
      </c>
      <c r="F5" s="4">
        <f>IFERROR((C5+D5+E5)/(B5*3),0)</f>
        <v>4.7619047619047616E-2</v>
      </c>
    </row>
    <row r="6" spans="1:6" x14ac:dyDescent="0.2">
      <c r="A6" s="8" t="s">
        <v>10</v>
      </c>
      <c r="B6" s="9">
        <f>SUM(B2:B5)</f>
        <v>28</v>
      </c>
      <c r="C6" s="9">
        <f>SUM(C2:C5)</f>
        <v>21</v>
      </c>
      <c r="D6" s="9">
        <f>SUM(D2:D5)</f>
        <v>21</v>
      </c>
      <c r="E6" s="9">
        <f>SUM(E2:E5)</f>
        <v>8</v>
      </c>
      <c r="F6" s="10">
        <f>IFERROR((C6+D6+E6)/(B6*3),0)</f>
        <v>0.59523809523809523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baseColWidth="10" defaultColWidth="8.6640625" defaultRowHeight="15" x14ac:dyDescent="0.2"/>
  <cols>
    <col min="1" max="1" width="18" customWidth="1"/>
    <col min="2" max="2" width="36" customWidth="1"/>
    <col min="3" max="4" width="20" customWidth="1"/>
    <col min="5" max="5" width="14" customWidth="1"/>
    <col min="6" max="6" width="60" customWidth="1"/>
  </cols>
  <sheetData>
    <row r="1" spans="1:6" ht="27.75" customHeight="1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21.75" customHeight="1" x14ac:dyDescent="0.2">
      <c r="A2" s="11" t="s">
        <v>6</v>
      </c>
      <c r="B2" s="12" t="s">
        <v>16</v>
      </c>
      <c r="C2" s="13" t="s">
        <v>17</v>
      </c>
      <c r="D2" s="13" t="s">
        <v>17</v>
      </c>
      <c r="E2" s="13" t="s">
        <v>17</v>
      </c>
      <c r="F2" s="14" t="s">
        <v>18</v>
      </c>
    </row>
    <row r="3" spans="1:6" ht="21.75" customHeight="1" x14ac:dyDescent="0.2">
      <c r="A3" s="11" t="s">
        <v>6</v>
      </c>
      <c r="B3" s="12" t="s">
        <v>19</v>
      </c>
      <c r="C3" s="13" t="s">
        <v>17</v>
      </c>
      <c r="D3" s="13" t="s">
        <v>17</v>
      </c>
      <c r="E3" s="13" t="s">
        <v>17</v>
      </c>
      <c r="F3" s="14" t="s">
        <v>21</v>
      </c>
    </row>
    <row r="4" spans="1:6" ht="21.75" customHeight="1" x14ac:dyDescent="0.2">
      <c r="A4" s="11" t="s">
        <v>6</v>
      </c>
      <c r="B4" s="12" t="s">
        <v>22</v>
      </c>
      <c r="C4" s="13" t="s">
        <v>17</v>
      </c>
      <c r="D4" s="13" t="s">
        <v>17</v>
      </c>
      <c r="E4" s="13" t="s">
        <v>17</v>
      </c>
      <c r="F4" s="14" t="s">
        <v>21</v>
      </c>
    </row>
    <row r="5" spans="1:6" ht="21.75" customHeight="1" x14ac:dyDescent="0.2">
      <c r="A5" s="11" t="s">
        <v>6</v>
      </c>
      <c r="B5" s="12" t="s">
        <v>23</v>
      </c>
      <c r="C5" s="13" t="s">
        <v>17</v>
      </c>
      <c r="D5" s="13" t="s">
        <v>17</v>
      </c>
      <c r="E5" s="13" t="s">
        <v>20</v>
      </c>
      <c r="F5" s="14"/>
    </row>
    <row r="6" spans="1:6" ht="21.75" customHeight="1" x14ac:dyDescent="0.2">
      <c r="A6" s="11" t="s">
        <v>6</v>
      </c>
      <c r="B6" s="12" t="s">
        <v>24</v>
      </c>
      <c r="C6" s="13" t="s">
        <v>17</v>
      </c>
      <c r="D6" s="13" t="s">
        <v>17</v>
      </c>
      <c r="E6" s="13" t="s">
        <v>20</v>
      </c>
      <c r="F6" s="14"/>
    </row>
    <row r="7" spans="1:6" ht="21.75" customHeight="1" x14ac:dyDescent="0.2">
      <c r="A7" s="11" t="s">
        <v>6</v>
      </c>
      <c r="B7" s="12" t="s">
        <v>25</v>
      </c>
      <c r="C7" s="13" t="s">
        <v>17</v>
      </c>
      <c r="D7" s="13" t="s">
        <v>17</v>
      </c>
      <c r="E7" s="13" t="s">
        <v>26</v>
      </c>
      <c r="F7" s="14" t="s">
        <v>27</v>
      </c>
    </row>
    <row r="8" spans="1:6" ht="21.75" customHeight="1" x14ac:dyDescent="0.2">
      <c r="A8" s="11" t="s">
        <v>6</v>
      </c>
      <c r="B8" s="12" t="s">
        <v>28</v>
      </c>
      <c r="C8" s="13" t="s">
        <v>17</v>
      </c>
      <c r="D8" s="13" t="s">
        <v>17</v>
      </c>
      <c r="E8" s="13" t="s">
        <v>17</v>
      </c>
      <c r="F8" s="14"/>
    </row>
    <row r="9" spans="1:6" ht="21.75" customHeight="1" x14ac:dyDescent="0.2">
      <c r="A9" s="11" t="s">
        <v>6</v>
      </c>
      <c r="B9" s="12" t="s">
        <v>29</v>
      </c>
      <c r="C9" s="13" t="s">
        <v>17</v>
      </c>
      <c r="D9" s="13" t="s">
        <v>17</v>
      </c>
      <c r="E9" s="13" t="s">
        <v>17</v>
      </c>
      <c r="F9" s="14"/>
    </row>
    <row r="10" spans="1:6" ht="21.75" customHeight="1" x14ac:dyDescent="0.2">
      <c r="A10" s="11" t="s">
        <v>6</v>
      </c>
      <c r="B10" s="12" t="s">
        <v>30</v>
      </c>
      <c r="C10" s="13" t="s">
        <v>17</v>
      </c>
      <c r="D10" s="13" t="s">
        <v>17</v>
      </c>
      <c r="E10" s="13" t="s">
        <v>17</v>
      </c>
      <c r="F10" s="14"/>
    </row>
    <row r="11" spans="1:6" ht="21.75" customHeight="1" x14ac:dyDescent="0.2">
      <c r="A11" s="11" t="s">
        <v>6</v>
      </c>
      <c r="B11" s="12" t="s">
        <v>31</v>
      </c>
      <c r="C11" s="13" t="s">
        <v>17</v>
      </c>
      <c r="D11" s="13" t="s">
        <v>17</v>
      </c>
      <c r="E11" s="13" t="s">
        <v>20</v>
      </c>
      <c r="F11" s="14" t="s">
        <v>32</v>
      </c>
    </row>
    <row r="12" spans="1:6" ht="21.75" customHeight="1" x14ac:dyDescent="0.2">
      <c r="A12" s="11" t="s">
        <v>6</v>
      </c>
      <c r="B12" s="12" t="s">
        <v>33</v>
      </c>
      <c r="C12" s="13" t="s">
        <v>17</v>
      </c>
      <c r="D12" s="13" t="s">
        <v>17</v>
      </c>
      <c r="E12" s="13" t="s">
        <v>20</v>
      </c>
      <c r="F12" s="14" t="s">
        <v>34</v>
      </c>
    </row>
    <row r="13" spans="1:6" ht="21.75" customHeight="1" x14ac:dyDescent="0.2">
      <c r="A13" s="11" t="s">
        <v>6</v>
      </c>
      <c r="B13" s="12" t="s">
        <v>35</v>
      </c>
      <c r="C13" s="13" t="s">
        <v>17</v>
      </c>
      <c r="D13" s="13" t="s">
        <v>17</v>
      </c>
      <c r="E13" s="13" t="s">
        <v>20</v>
      </c>
      <c r="F13" s="14" t="s">
        <v>34</v>
      </c>
    </row>
    <row r="14" spans="1:6" ht="21.75" customHeight="1" x14ac:dyDescent="0.2">
      <c r="A14" s="11" t="s">
        <v>6</v>
      </c>
      <c r="B14" s="12" t="s">
        <v>36</v>
      </c>
      <c r="C14" s="13" t="s">
        <v>17</v>
      </c>
      <c r="D14" s="13" t="s">
        <v>17</v>
      </c>
      <c r="E14" s="13" t="s">
        <v>20</v>
      </c>
      <c r="F14" s="14" t="s">
        <v>34</v>
      </c>
    </row>
    <row r="15" spans="1:6" ht="21.75" customHeight="1" x14ac:dyDescent="0.2">
      <c r="A15" s="15" t="s">
        <v>7</v>
      </c>
      <c r="B15" s="12" t="s">
        <v>37</v>
      </c>
      <c r="C15" s="13" t="s">
        <v>17</v>
      </c>
      <c r="D15" s="13" t="s">
        <v>17</v>
      </c>
      <c r="E15" s="13" t="s">
        <v>20</v>
      </c>
      <c r="F15" s="14" t="s">
        <v>38</v>
      </c>
    </row>
    <row r="16" spans="1:6" ht="21.75" customHeight="1" x14ac:dyDescent="0.2">
      <c r="A16" s="15" t="s">
        <v>7</v>
      </c>
      <c r="B16" s="12" t="s">
        <v>39</v>
      </c>
      <c r="C16" s="13" t="s">
        <v>17</v>
      </c>
      <c r="D16" s="13" t="s">
        <v>17</v>
      </c>
      <c r="E16" s="13" t="s">
        <v>20</v>
      </c>
      <c r="F16" s="14" t="s">
        <v>38</v>
      </c>
    </row>
    <row r="17" spans="1:6" ht="21.75" customHeight="1" x14ac:dyDescent="0.2">
      <c r="A17" s="15" t="s">
        <v>7</v>
      </c>
      <c r="B17" s="12" t="s">
        <v>40</v>
      </c>
      <c r="C17" s="13" t="s">
        <v>17</v>
      </c>
      <c r="D17" s="13" t="s">
        <v>17</v>
      </c>
      <c r="E17" s="13" t="s">
        <v>20</v>
      </c>
      <c r="F17" s="14" t="s">
        <v>38</v>
      </c>
    </row>
    <row r="18" spans="1:6" ht="21.75" customHeight="1" x14ac:dyDescent="0.2">
      <c r="A18" s="15" t="s">
        <v>7</v>
      </c>
      <c r="B18" s="12" t="s">
        <v>41</v>
      </c>
      <c r="C18" s="13" t="s">
        <v>17</v>
      </c>
      <c r="D18" s="13" t="s">
        <v>17</v>
      </c>
      <c r="E18" s="13" t="s">
        <v>20</v>
      </c>
      <c r="F18" s="14" t="s">
        <v>42</v>
      </c>
    </row>
    <row r="19" spans="1:6" ht="21.75" customHeight="1" x14ac:dyDescent="0.2">
      <c r="A19" s="15" t="s">
        <v>7</v>
      </c>
      <c r="B19" s="12" t="s">
        <v>43</v>
      </c>
      <c r="C19" s="13" t="s">
        <v>17</v>
      </c>
      <c r="D19" s="13" t="s">
        <v>17</v>
      </c>
      <c r="E19" s="13" t="s">
        <v>17</v>
      </c>
      <c r="F19" s="14"/>
    </row>
    <row r="20" spans="1:6" ht="21.75" customHeight="1" x14ac:dyDescent="0.2">
      <c r="A20" s="16" t="s">
        <v>8</v>
      </c>
      <c r="B20" s="12" t="s">
        <v>44</v>
      </c>
      <c r="C20" s="13" t="s">
        <v>17</v>
      </c>
      <c r="D20" s="13" t="s">
        <v>17</v>
      </c>
      <c r="E20" s="13" t="s">
        <v>20</v>
      </c>
      <c r="F20" s="14" t="s">
        <v>45</v>
      </c>
    </row>
    <row r="21" spans="1:6" ht="21.75" customHeight="1" x14ac:dyDescent="0.2">
      <c r="A21" s="16" t="s">
        <v>8</v>
      </c>
      <c r="B21" s="12" t="s">
        <v>46</v>
      </c>
      <c r="C21" s="13" t="s">
        <v>17</v>
      </c>
      <c r="D21" s="13" t="s">
        <v>17</v>
      </c>
      <c r="E21" s="13" t="s">
        <v>20</v>
      </c>
      <c r="F21" s="14" t="s">
        <v>45</v>
      </c>
    </row>
    <row r="22" spans="1:6" ht="21.75" customHeight="1" x14ac:dyDescent="0.2">
      <c r="A22" s="16" t="s">
        <v>8</v>
      </c>
      <c r="B22" s="12" t="s">
        <v>47</v>
      </c>
      <c r="C22" s="13" t="s">
        <v>17</v>
      </c>
      <c r="D22" s="13" t="s">
        <v>17</v>
      </c>
      <c r="E22" s="13" t="s">
        <v>20</v>
      </c>
      <c r="F22" s="14" t="s">
        <v>45</v>
      </c>
    </row>
    <row r="23" spans="1:6" ht="21.75" customHeight="1" x14ac:dyDescent="0.2">
      <c r="A23" s="17" t="s">
        <v>9</v>
      </c>
      <c r="B23" s="12" t="s">
        <v>48</v>
      </c>
      <c r="C23" s="13" t="s">
        <v>20</v>
      </c>
      <c r="D23" s="13" t="s">
        <v>20</v>
      </c>
      <c r="E23" s="13" t="s">
        <v>17</v>
      </c>
      <c r="F23" s="14" t="s">
        <v>49</v>
      </c>
    </row>
    <row r="24" spans="1:6" ht="21.75" customHeight="1" x14ac:dyDescent="0.2">
      <c r="A24" s="17" t="s">
        <v>9</v>
      </c>
      <c r="B24" s="12" t="s">
        <v>50</v>
      </c>
      <c r="C24" s="13" t="s">
        <v>20</v>
      </c>
      <c r="D24" s="13" t="s">
        <v>20</v>
      </c>
      <c r="E24" s="13" t="s">
        <v>20</v>
      </c>
      <c r="F24" s="14" t="s">
        <v>51</v>
      </c>
    </row>
    <row r="25" spans="1:6" ht="21.75" customHeight="1" x14ac:dyDescent="0.2">
      <c r="A25" s="17" t="s">
        <v>9</v>
      </c>
      <c r="B25" s="12" t="s">
        <v>52</v>
      </c>
      <c r="C25" s="13" t="s">
        <v>20</v>
      </c>
      <c r="D25" s="13" t="s">
        <v>20</v>
      </c>
      <c r="E25" s="13" t="s">
        <v>20</v>
      </c>
      <c r="F25" s="14" t="s">
        <v>51</v>
      </c>
    </row>
    <row r="26" spans="1:6" ht="21.75" customHeight="1" x14ac:dyDescent="0.2">
      <c r="A26" s="17" t="s">
        <v>9</v>
      </c>
      <c r="B26" s="12" t="s">
        <v>53</v>
      </c>
      <c r="C26" s="13" t="s">
        <v>20</v>
      </c>
      <c r="D26" s="13" t="s">
        <v>20</v>
      </c>
      <c r="E26" s="13" t="s">
        <v>20</v>
      </c>
      <c r="F26" s="14" t="s">
        <v>54</v>
      </c>
    </row>
    <row r="27" spans="1:6" ht="21.75" customHeight="1" x14ac:dyDescent="0.2">
      <c r="A27" s="17" t="s">
        <v>9</v>
      </c>
      <c r="B27" s="12" t="s">
        <v>55</v>
      </c>
      <c r="C27" s="13" t="s">
        <v>20</v>
      </c>
      <c r="D27" s="13" t="s">
        <v>20</v>
      </c>
      <c r="E27" s="13" t="s">
        <v>20</v>
      </c>
      <c r="F27" s="14" t="s">
        <v>56</v>
      </c>
    </row>
    <row r="28" spans="1:6" ht="21.75" customHeight="1" x14ac:dyDescent="0.2">
      <c r="A28" s="17" t="s">
        <v>9</v>
      </c>
      <c r="B28" s="12" t="s">
        <v>57</v>
      </c>
      <c r="C28" s="13" t="s">
        <v>20</v>
      </c>
      <c r="D28" s="13" t="s">
        <v>20</v>
      </c>
      <c r="E28" s="13" t="s">
        <v>20</v>
      </c>
      <c r="F28" s="14" t="s">
        <v>56</v>
      </c>
    </row>
    <row r="29" spans="1:6" ht="21.75" customHeight="1" x14ac:dyDescent="0.2">
      <c r="A29" s="17" t="s">
        <v>9</v>
      </c>
      <c r="B29" s="12" t="s">
        <v>58</v>
      </c>
      <c r="C29" s="13" t="s">
        <v>20</v>
      </c>
      <c r="D29" s="13" t="s">
        <v>20</v>
      </c>
      <c r="E29" s="13" t="s">
        <v>20</v>
      </c>
      <c r="F29" s="14" t="s">
        <v>56</v>
      </c>
    </row>
  </sheetData>
  <autoFilter ref="A1:F29" xr:uid="{00000000-0009-0000-0000-000001000000}"/>
  <conditionalFormatting sqref="C2:E29">
    <cfRule type="cellIs" dxfId="2" priority="2" operator="equal">
      <formula>"✓"</formula>
    </cfRule>
    <cfRule type="cellIs" dxfId="1" priority="3" operator="equal">
      <formula>"—"</formula>
    </cfRule>
    <cfRule type="cellIs" dxfId="0" priority="4" operator="equal">
      <formula>"⚠"</formula>
    </cfRule>
  </conditionalFormatting>
  <dataValidations count="1">
    <dataValidation type="list" allowBlank="1" errorTitle="Valor inválido" error="Solo: ✓ (existe), — (no existe), o ⚠ (revisar)" promptTitle="Estado del asset" prompt="Elegí: ✓ (existe) · — (no existe) · ⚠ (revisar)" sqref="C2:E29" xr:uid="{00000000-0002-0000-0100-000000000000}">
      <formula1>"✓,—,⚠"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8" x14ac:dyDescent="0.2">
      <c r="A1" s="18" t="s">
        <v>59</v>
      </c>
    </row>
    <row r="3" spans="1:1" x14ac:dyDescent="0.2">
      <c r="A3" s="19" t="s">
        <v>60</v>
      </c>
    </row>
    <row r="5" spans="1:1" x14ac:dyDescent="0.2">
      <c r="A5" t="s">
        <v>61</v>
      </c>
    </row>
    <row r="6" spans="1:1" x14ac:dyDescent="0.2">
      <c r="A6" t="s">
        <v>62</v>
      </c>
    </row>
    <row r="7" spans="1:1" x14ac:dyDescent="0.2">
      <c r="A7" t="s">
        <v>63</v>
      </c>
    </row>
    <row r="8" spans="1:1" x14ac:dyDescent="0.2">
      <c r="A8" t="s">
        <v>64</v>
      </c>
    </row>
    <row r="9" spans="1:1" x14ac:dyDescent="0.2">
      <c r="A9" t="s">
        <v>65</v>
      </c>
    </row>
    <row r="10" spans="1:1" x14ac:dyDescent="0.2">
      <c r="A10" t="s">
        <v>66</v>
      </c>
    </row>
    <row r="11" spans="1:1" x14ac:dyDescent="0.2">
      <c r="A11" t="s">
        <v>67</v>
      </c>
    </row>
    <row r="12" spans="1:1" x14ac:dyDescent="0.2">
      <c r="A12" t="s">
        <v>68</v>
      </c>
    </row>
    <row r="13" spans="1:1" x14ac:dyDescent="0.2">
      <c r="A13" t="s">
        <v>69</v>
      </c>
    </row>
    <row r="14" spans="1:1" x14ac:dyDescent="0.2">
      <c r="A14" t="s">
        <v>70</v>
      </c>
    </row>
    <row r="15" spans="1:1" x14ac:dyDescent="0.2">
      <c r="A15" t="s">
        <v>71</v>
      </c>
    </row>
    <row r="17" spans="1:1" x14ac:dyDescent="0.2">
      <c r="A17" s="19" t="s">
        <v>72</v>
      </c>
    </row>
    <row r="19" spans="1:1" x14ac:dyDescent="0.2">
      <c r="A19" t="s">
        <v>73</v>
      </c>
    </row>
    <row r="20" spans="1:1" x14ac:dyDescent="0.2">
      <c r="A20" t="s">
        <v>74</v>
      </c>
    </row>
    <row r="21" spans="1:1" x14ac:dyDescent="0.2">
      <c r="A21" t="s">
        <v>75</v>
      </c>
    </row>
    <row r="22" spans="1:1" x14ac:dyDescent="0.2">
      <c r="A22" t="s">
        <v>76</v>
      </c>
    </row>
    <row r="24" spans="1:1" x14ac:dyDescent="0.2">
      <c r="A24" s="19" t="s">
        <v>77</v>
      </c>
    </row>
    <row r="26" spans="1:1" x14ac:dyDescent="0.2">
      <c r="A26" t="s">
        <v>78</v>
      </c>
    </row>
    <row r="27" spans="1:1" x14ac:dyDescent="0.2">
      <c r="A27" t="s">
        <v>79</v>
      </c>
    </row>
    <row r="29" spans="1:1" x14ac:dyDescent="0.2">
      <c r="A29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Inventario</vt:lpstr>
      <vt:lpstr>Cómo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David Montoya Espinosa</cp:lastModifiedBy>
  <cp:revision>0</cp:revision>
  <dcterms:created xsi:type="dcterms:W3CDTF">2026-05-12T12:03:38Z</dcterms:created>
  <dcterms:modified xsi:type="dcterms:W3CDTF">2026-05-13T21:54:39Z</dcterms:modified>
  <dc:language>en-US</dc:language>
</cp:coreProperties>
</file>